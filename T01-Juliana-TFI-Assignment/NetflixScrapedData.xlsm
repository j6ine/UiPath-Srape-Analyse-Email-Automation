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a\Documents\UiPath\TFI ASG\T01-Juliana-TFI-Assignment\"/>
    </mc:Choice>
  </mc:AlternateContent>
  <xr:revisionPtr revIDLastSave="0" documentId="13_ncr:1_{DF7079D9-64A8-4ED7-9B78-5497215C0465}" xr6:coauthVersionLast="47" xr6:coauthVersionMax="47" xr10:uidLastSave="{00000000-0000-0000-0000-000000000000}"/>
  <bookViews>
    <workbookView xWindow="3012" yWindow="48" windowWidth="14664" windowHeight="12912" xr2:uid="{663C7C13-96C1-4EE0-8527-3FD193420016}"/>
  </bookViews>
  <sheets>
    <sheet name="Netflix" sheetId="9" r:id="rId1"/>
    <sheet name="Netflix Template" sheetId="6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9" l="1"/>
  <c r="G16" i="9"/>
  <c r="G15" i="9"/>
  <c r="G14" i="9"/>
  <c r="G13" i="9"/>
  <c r="G12" i="9"/>
  <c r="G11" i="9"/>
  <c r="G10" i="9"/>
  <c r="G9" i="9"/>
  <c r="F17" i="9"/>
  <c r="F16" i="9"/>
  <c r="F15" i="9"/>
  <c r="F14" i="9"/>
  <c r="F13" i="9"/>
  <c r="F12" i="9"/>
  <c r="F11" i="9"/>
  <c r="F10" i="9"/>
  <c r="F9" i="9"/>
  <c r="E17" i="9"/>
  <c r="E16" i="9"/>
  <c r="E15" i="9"/>
  <c r="E14" i="9"/>
  <c r="E13" i="9"/>
  <c r="E12" i="9"/>
  <c r="E11" i="9"/>
  <c r="E10" i="9"/>
  <c r="E9" i="9"/>
  <c r="D17" i="9"/>
  <c r="D16" i="9"/>
  <c r="D15" i="9"/>
  <c r="D14" i="9"/>
  <c r="D13" i="9"/>
  <c r="D12" i="9"/>
  <c r="D11" i="9"/>
  <c r="D10" i="9"/>
  <c r="D9" i="9"/>
  <c r="C17" i="9"/>
  <c r="C16" i="9"/>
  <c r="C15" i="9"/>
  <c r="C14" i="9"/>
  <c r="C13" i="9"/>
  <c r="C12" i="9"/>
  <c r="C11" i="9"/>
  <c r="C10" i="9"/>
  <c r="C9" i="9"/>
  <c r="G6" i="9"/>
  <c r="G5" i="9"/>
  <c r="G4" i="9"/>
  <c r="G3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W5" i="9"/>
  <c r="W4" i="9"/>
  <c r="W3" i="9"/>
  <c r="F6" i="9"/>
  <c r="F5" i="9"/>
  <c r="F4" i="9"/>
  <c r="F3" i="9"/>
  <c r="E6" i="9"/>
  <c r="E5" i="9"/>
  <c r="E4" i="9"/>
  <c r="E3" i="9"/>
  <c r="D6" i="9"/>
  <c r="D5" i="9"/>
  <c r="D4" i="9"/>
  <c r="D3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C6" i="9"/>
  <c r="C5" i="9"/>
  <c r="C4" i="9"/>
  <c r="C3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</calcChain>
</file>

<file path=xl/sharedStrings.xml><?xml version="1.0" encoding="utf-8"?>
<sst xmlns="http://schemas.openxmlformats.org/spreadsheetml/2006/main" count="50" uniqueCount="24">
  <si>
    <t>Max value</t>
  </si>
  <si>
    <t>75th Percentile</t>
  </si>
  <si>
    <t>50th Percentile</t>
  </si>
  <si>
    <t>25th Percentile</t>
  </si>
  <si>
    <t>Min value</t>
  </si>
  <si>
    <t>Standard Deviation</t>
  </si>
  <si>
    <t>Variance</t>
  </si>
  <si>
    <t>Median</t>
  </si>
  <si>
    <t>Mean</t>
  </si>
  <si>
    <t>Year</t>
  </si>
  <si>
    <t>Netflix 2017-2021</t>
  </si>
  <si>
    <t>Annual GP</t>
  </si>
  <si>
    <t>P/B Ratio</t>
  </si>
  <si>
    <t>P/E Ratio</t>
  </si>
  <si>
    <t>D/E Ratio</t>
  </si>
  <si>
    <t>FCF</t>
  </si>
  <si>
    <t>Netflix 2017-2021 raw scraped data</t>
  </si>
  <si>
    <t>Netflix PE Ratio Historical Data Date</t>
  </si>
  <si>
    <t>Netflix PE Ratio Historical Data PE Ratio</t>
  </si>
  <si>
    <t>Date</t>
  </si>
  <si>
    <t>Annual Gross Profit</t>
  </si>
  <si>
    <t>Free Cash Flow</t>
  </si>
  <si>
    <t>Netflix Debt/Equity Ratio Historical Data Date</t>
  </si>
  <si>
    <t>Netflix Debt/Equity Ratio Historical Data Debt to Equity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</si>
</sst>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wrapText="1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2" borderId="5" xfId="0" applyFill="1" applyBorder="1"/>
    <xf numFmtId="0" fontId="0" fillId="2" borderId="6" xfId="0" applyFill="1" applyBorder="1" applyAlignment="1">
      <alignment wrapText="1"/>
    </xf>
    <xf numFmtId="0" fontId="0" fillId="4" borderId="5" xfId="0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4" borderId="5" xfId="0" applyFill="1" applyBorder="1"/>
    <xf numFmtId="0" fontId="0" fillId="4" borderId="7" xfId="0" applyFill="1" applyBorder="1"/>
    <xf numFmtId="0" fontId="0" fillId="3" borderId="8" xfId="0" applyFill="1" applyBorder="1"/>
    <xf numFmtId="0" fontId="0" fillId="0" borderId="9" xfId="0" applyBorder="1"/>
    <xf numFmtId="0" fontId="0" fillId="0" borderId="9" xfId="0" applyBorder="1" applyAlignment="1">
      <alignment horizontal="left"/>
    </xf>
    <xf numFmtId="14" fontId="0" fillId="0" borderId="0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4" fontId="0" fillId="0" borderId="0" xfId="0" applyNumberFormat="1" applyBorder="1"/>
    <xf numFmtId="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2D669-3991-4B5D-B727-7FC54DE8CD0E}">
  <sheetPr codeName="Sheet2"/>
  <dimension ref="A1:Z21"/>
  <sheetViews>
    <sheetView tabSelected="1" zoomScale="130" zoomScaleNormal="130" workbookViewId="0">
      <selection activeCell="D2" sqref="D2:D6"/>
    </sheetView>
  </sheetViews>
  <sheetFormatPr defaultRowHeight="14.4" x14ac:dyDescent="0.3"/>
  <cols>
    <col min="1" max="1" width="17.77734375" customWidth="1"/>
    <col min="3" max="3" width="12" customWidth="1"/>
    <col min="5" max="5" width="10.5546875" customWidth="1"/>
    <col min="7" max="7" width="12" bestFit="1" customWidth="1"/>
    <col min="9" max="9" width="9" bestFit="1" customWidth="1"/>
    <col min="10" max="10" width="12.88671875" customWidth="1"/>
    <col min="11" max="11" width="9" bestFit="1" customWidth="1"/>
    <col min="13" max="13" width="11.44140625" customWidth="1"/>
    <col min="14" max="14" width="14.109375" customWidth="1"/>
    <col min="15" max="15" width="9" bestFit="1" customWidth="1"/>
    <col min="17" max="18" width="9" bestFit="1" customWidth="1"/>
    <col min="21" max="22" width="9" bestFit="1" customWidth="1"/>
    <col min="24" max="24" width="12.109375" customWidth="1"/>
  </cols>
  <sheetData>
    <row r="1" spans="1:25" x14ac:dyDescent="0.3">
      <c r="A1" s="6" t="s">
        <v>10</v>
      </c>
      <c r="B1" s="7"/>
      <c r="C1" s="7"/>
      <c r="D1" s="7"/>
      <c r="E1" s="7"/>
      <c r="F1" s="7"/>
      <c r="G1" s="8"/>
      <c r="H1" s="16"/>
      <c r="I1" s="7" t="s">
        <v>16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/>
    </row>
    <row r="2" spans="1:25" x14ac:dyDescent="0.3">
      <c r="A2" s="9" t="s">
        <v>9</v>
      </c>
      <c r="B2" s="1"/>
      <c r="C2" s="1" t="s">
        <v>13</v>
      </c>
      <c r="D2" s="1" t="s">
        <v>12</v>
      </c>
      <c r="E2" s="1" t="s">
        <v>11</v>
      </c>
      <c r="F2" s="2" t="s">
        <v>15</v>
      </c>
      <c r="G2" s="10" t="s">
        <v>14</v>
      </c>
      <c r="H2" s="17"/>
      <c r="I2" s="21" t="s">
        <v>9</v>
      </c>
      <c r="J2" s="4" t="s">
        <v>17</v>
      </c>
      <c r="K2" s="4" t="s">
        <v>18</v>
      </c>
      <c r="M2" s="22" t="s">
        <v>9</v>
      </c>
      <c r="N2" s="4" t="s">
        <v>19</v>
      </c>
      <c r="O2" s="4" t="s">
        <v>12</v>
      </c>
      <c r="Q2" s="4" t="s">
        <v>9</v>
      </c>
      <c r="R2" s="4" t="s">
        <v>20</v>
      </c>
      <c r="S2" s="4"/>
      <c r="T2" s="23" t="s">
        <v>9</v>
      </c>
      <c r="U2" s="23" t="s">
        <v>21</v>
      </c>
      <c r="V2" s="4"/>
      <c r="W2" s="22" t="s">
        <v>9</v>
      </c>
      <c r="X2" s="4" t="s">
        <v>22</v>
      </c>
      <c r="Y2" s="13" t="s">
        <v>23</v>
      </c>
    </row>
    <row r="3" spans="1:25" x14ac:dyDescent="0.3">
      <c r="A3" s="11">
        <v>2017</v>
      </c>
      <c r="B3" s="3"/>
      <c r="C3">
        <f>AVERAGEIF(I3:I18, 2017, K3:K18)</f>
        <v>178.36250000000001</v>
      </c>
      <c r="D3" s="3">
        <f>AVERAGEIF(M3:M18, 2017, O3:O18)</f>
        <v>22.2425</v>
      </c>
      <c r="E3" s="27">
        <f>R3</f>
        <v>9720</v>
      </c>
      <c r="F3" s="25">
        <f>U3</f>
        <v>1929.15</v>
      </c>
      <c r="G3" s="12">
        <f>AVERAGEIF(W3:W18, 2017, Y3:Y18)</f>
        <v>4.1374999999999993</v>
      </c>
      <c r="H3" s="18"/>
      <c r="I3" s="21">
        <f t="shared" ref="I3:I18" si="0">YEAR(J3)</f>
        <v>2020</v>
      </c>
      <c r="J3" s="19">
        <v>44196</v>
      </c>
      <c r="K3" s="20">
        <v>88.79</v>
      </c>
      <c r="M3" s="20">
        <f t="shared" ref="M3:M18" si="1">YEAR(N3)</f>
        <v>2020</v>
      </c>
      <c r="N3" s="19">
        <v>44196</v>
      </c>
      <c r="O3" s="4">
        <v>21.64</v>
      </c>
      <c r="P3" s="4"/>
      <c r="Q3" s="4">
        <v>2020</v>
      </c>
      <c r="R3" s="26">
        <v>9720</v>
      </c>
      <c r="S3" s="4"/>
      <c r="T3" s="4">
        <v>2020</v>
      </c>
      <c r="U3" s="24">
        <v>1929.15</v>
      </c>
      <c r="V3" s="4"/>
      <c r="W3" s="4">
        <f t="shared" ref="W3:W18" si="2">YEAR(X3)</f>
        <v>2020</v>
      </c>
      <c r="X3" s="19">
        <v>44196</v>
      </c>
      <c r="Y3" s="13">
        <v>2.5499999999999998</v>
      </c>
    </row>
    <row r="4" spans="1:25" x14ac:dyDescent="0.3">
      <c r="A4" s="11">
        <v>2018</v>
      </c>
      <c r="B4" s="3"/>
      <c r="C4" s="4">
        <f>AVERAGEIF(I3:I18, 2018, K3:K18)</f>
        <v>152.73250000000002</v>
      </c>
      <c r="D4" s="3">
        <f>AVERAGEIF(M3:M18, 2018, O3:O18)</f>
        <v>31.18</v>
      </c>
      <c r="E4" s="27">
        <f>R4</f>
        <v>7716</v>
      </c>
      <c r="F4" s="25">
        <f>U4</f>
        <v>-3140.36</v>
      </c>
      <c r="G4" s="13">
        <f>AVERAGEIF(W3:W18, 2018, Y3:Y18)</f>
        <v>3.9175</v>
      </c>
      <c r="H4" s="18"/>
      <c r="I4" s="21">
        <f t="shared" si="0"/>
        <v>2020</v>
      </c>
      <c r="J4" s="19">
        <v>44104</v>
      </c>
      <c r="K4" s="20">
        <v>80.650000000000006</v>
      </c>
      <c r="M4" s="20">
        <f t="shared" si="1"/>
        <v>2020</v>
      </c>
      <c r="N4" s="19">
        <v>44104</v>
      </c>
      <c r="O4" s="4">
        <v>21.38</v>
      </c>
      <c r="P4" s="4"/>
      <c r="Q4" s="4">
        <v>2019</v>
      </c>
      <c r="R4" s="26">
        <v>7716</v>
      </c>
      <c r="S4" s="4"/>
      <c r="T4" s="4">
        <v>2019</v>
      </c>
      <c r="U4" s="24">
        <v>-3140.36</v>
      </c>
      <c r="V4" s="4"/>
      <c r="W4" s="4">
        <f t="shared" si="2"/>
        <v>2020</v>
      </c>
      <c r="X4" s="19">
        <v>44104</v>
      </c>
      <c r="Y4" s="13">
        <v>2.74</v>
      </c>
    </row>
    <row r="5" spans="1:25" x14ac:dyDescent="0.3">
      <c r="A5" s="11">
        <v>2019</v>
      </c>
      <c r="B5" s="3"/>
      <c r="C5" s="4">
        <f>AVERAGEIF(I3:I18, 2019, K3:K18)</f>
        <v>108.81</v>
      </c>
      <c r="D5" s="3">
        <f>AVERAGEIF(M3:M18, 2019, O3:O18)</f>
        <v>22.372499999999999</v>
      </c>
      <c r="E5" s="27">
        <f>R5</f>
        <v>5827</v>
      </c>
      <c r="F5" s="25">
        <f>U5</f>
        <v>-2854.43</v>
      </c>
      <c r="G5" s="12">
        <f>AVERAGEIF(W3:W18, 2019, Y3:Y18)</f>
        <v>3.6749999999999998</v>
      </c>
      <c r="H5" s="18"/>
      <c r="I5" s="21">
        <f t="shared" si="0"/>
        <v>2020</v>
      </c>
      <c r="J5" s="19">
        <v>44012</v>
      </c>
      <c r="K5" s="20">
        <v>76.739999999999995</v>
      </c>
      <c r="L5" s="4"/>
      <c r="M5" s="20">
        <f t="shared" si="1"/>
        <v>2020</v>
      </c>
      <c r="N5" s="19">
        <v>44012</v>
      </c>
      <c r="O5" s="4">
        <v>21.5</v>
      </c>
      <c r="P5" s="4"/>
      <c r="Q5" s="4">
        <v>2018</v>
      </c>
      <c r="R5" s="26">
        <v>5827</v>
      </c>
      <c r="S5" s="4"/>
      <c r="T5" s="4">
        <v>2018</v>
      </c>
      <c r="U5" s="24">
        <v>-2854.43</v>
      </c>
      <c r="V5" s="4"/>
      <c r="W5" s="4">
        <f t="shared" si="2"/>
        <v>2020</v>
      </c>
      <c r="X5" s="19">
        <v>44012</v>
      </c>
      <c r="Y5" s="13">
        <v>2.98</v>
      </c>
    </row>
    <row r="6" spans="1:25" x14ac:dyDescent="0.3">
      <c r="A6" s="11">
        <v>2020</v>
      </c>
      <c r="B6" s="3"/>
      <c r="C6" s="4">
        <f>AVERAGEIF(I3:I18, 2020, K3:K18)</f>
        <v>80.547499999999999</v>
      </c>
      <c r="D6" s="3">
        <f>AVERAGEIF(M3:M18, 2020, O3:O18)</f>
        <v>21.04</v>
      </c>
      <c r="E6" s="27">
        <f>R6</f>
        <v>3660</v>
      </c>
      <c r="F6" s="25">
        <f>U6</f>
        <v>-1959.25</v>
      </c>
      <c r="G6" s="12">
        <f>AVERAGEIF(W3:W18, 2020, Y3:Y18)</f>
        <v>2.86</v>
      </c>
      <c r="H6" s="18"/>
      <c r="I6" s="21">
        <f t="shared" si="0"/>
        <v>2020</v>
      </c>
      <c r="J6" s="19">
        <v>43921</v>
      </c>
      <c r="K6" s="20">
        <v>76.010000000000005</v>
      </c>
      <c r="L6" s="4"/>
      <c r="M6" s="20">
        <f t="shared" si="1"/>
        <v>2020</v>
      </c>
      <c r="N6" s="19">
        <v>43921</v>
      </c>
      <c r="O6" s="4">
        <v>19.64</v>
      </c>
      <c r="P6" s="4"/>
      <c r="Q6" s="4">
        <v>2017</v>
      </c>
      <c r="R6" s="26">
        <v>3660</v>
      </c>
      <c r="S6" s="4"/>
      <c r="T6" s="4">
        <v>2017</v>
      </c>
      <c r="U6" s="24">
        <v>-1959.25</v>
      </c>
      <c r="V6" s="4"/>
      <c r="W6" s="4">
        <f t="shared" si="2"/>
        <v>2020</v>
      </c>
      <c r="X6" s="19">
        <v>43921</v>
      </c>
      <c r="Y6" s="13">
        <v>3.17</v>
      </c>
    </row>
    <row r="7" spans="1:25" x14ac:dyDescent="0.3">
      <c r="A7" s="11"/>
      <c r="B7" s="3"/>
      <c r="C7" s="4"/>
      <c r="D7" s="3"/>
      <c r="E7" s="3"/>
      <c r="F7" s="3"/>
      <c r="G7" s="12"/>
      <c r="H7" s="18"/>
      <c r="I7" s="21">
        <f t="shared" si="0"/>
        <v>2019</v>
      </c>
      <c r="J7" s="19">
        <v>43830</v>
      </c>
      <c r="K7" s="20">
        <v>78.349999999999994</v>
      </c>
      <c r="L7" s="4"/>
      <c r="M7" s="20">
        <f t="shared" si="1"/>
        <v>2019</v>
      </c>
      <c r="N7" s="19">
        <v>43830</v>
      </c>
      <c r="O7" s="4">
        <v>18.73</v>
      </c>
      <c r="P7" s="4"/>
      <c r="Q7" s="4"/>
      <c r="R7" s="4"/>
      <c r="S7" s="4"/>
      <c r="T7" s="4"/>
      <c r="U7" s="4"/>
      <c r="V7" s="4"/>
      <c r="W7" s="4">
        <f t="shared" si="2"/>
        <v>2019</v>
      </c>
      <c r="X7" s="19">
        <v>43830</v>
      </c>
      <c r="Y7" s="13">
        <v>3.48</v>
      </c>
    </row>
    <row r="8" spans="1:25" x14ac:dyDescent="0.3">
      <c r="A8" s="14"/>
      <c r="B8" s="4"/>
      <c r="C8" s="4"/>
      <c r="D8" s="4"/>
      <c r="E8" s="4"/>
      <c r="F8" s="4"/>
      <c r="G8" s="13"/>
      <c r="H8" s="17"/>
      <c r="I8" s="21">
        <f t="shared" si="0"/>
        <v>2019</v>
      </c>
      <c r="J8" s="19">
        <v>43738</v>
      </c>
      <c r="K8" s="20">
        <v>85.5</v>
      </c>
      <c r="L8" s="4"/>
      <c r="M8" s="20">
        <f t="shared" si="1"/>
        <v>2019</v>
      </c>
      <c r="N8" s="19">
        <v>43738</v>
      </c>
      <c r="O8" s="4">
        <v>17.09</v>
      </c>
      <c r="P8" s="4"/>
      <c r="Q8" s="4"/>
      <c r="R8" s="4"/>
      <c r="S8" s="4"/>
      <c r="T8" s="4"/>
      <c r="U8" s="4"/>
      <c r="V8" s="4"/>
      <c r="W8" s="4">
        <f t="shared" si="2"/>
        <v>2019</v>
      </c>
      <c r="X8" s="19">
        <v>43738</v>
      </c>
      <c r="Y8" s="13">
        <v>3.51</v>
      </c>
    </row>
    <row r="9" spans="1:25" x14ac:dyDescent="0.3">
      <c r="A9" s="14" t="s">
        <v>8</v>
      </c>
      <c r="B9" s="4"/>
      <c r="C9" s="4">
        <f>AVERAGE(C3:C6)</f>
        <v>130.113125</v>
      </c>
      <c r="D9" s="4">
        <f>AVERAGE(D3:D6)</f>
        <v>24.208750000000002</v>
      </c>
      <c r="E9" s="26">
        <f>AVERAGE(E3:E6)</f>
        <v>6730.75</v>
      </c>
      <c r="F9" s="24">
        <f>AVERAGE(F3:F6)</f>
        <v>-1506.2224999999999</v>
      </c>
      <c r="G9" s="13">
        <f>AVERAGE(G3:G6)</f>
        <v>3.6475</v>
      </c>
      <c r="H9" s="17"/>
      <c r="I9" s="21">
        <f t="shared" si="0"/>
        <v>2019</v>
      </c>
      <c r="J9" s="19">
        <v>43646</v>
      </c>
      <c r="K9" s="20">
        <v>144.05000000000001</v>
      </c>
      <c r="L9" s="4"/>
      <c r="M9" s="20">
        <f t="shared" si="1"/>
        <v>2019</v>
      </c>
      <c r="N9" s="19">
        <v>43646</v>
      </c>
      <c r="O9" s="4">
        <v>26.34</v>
      </c>
      <c r="P9" s="4"/>
      <c r="Q9" s="4"/>
      <c r="R9" s="4"/>
      <c r="S9" s="4"/>
      <c r="T9" s="4"/>
      <c r="U9" s="4"/>
      <c r="V9" s="4"/>
      <c r="W9" s="4">
        <f t="shared" si="2"/>
        <v>2019</v>
      </c>
      <c r="X9" s="19">
        <v>43646</v>
      </c>
      <c r="Y9" s="13">
        <v>3.94</v>
      </c>
    </row>
    <row r="10" spans="1:25" x14ac:dyDescent="0.3">
      <c r="A10" s="14" t="s">
        <v>7</v>
      </c>
      <c r="B10" s="4"/>
      <c r="C10" s="4">
        <f>MEDIAN(C3:C6)</f>
        <v>130.77125000000001</v>
      </c>
      <c r="D10" s="4">
        <f>MEDIAN(D3:D6)</f>
        <v>22.307499999999997</v>
      </c>
      <c r="E10" s="26">
        <f>MEDIAN(E3:E6)</f>
        <v>6771.5</v>
      </c>
      <c r="F10" s="24">
        <f>MEDIAN(F3:F6)</f>
        <v>-2406.84</v>
      </c>
      <c r="G10" s="13">
        <f>MEDIAN(G3:G6)</f>
        <v>3.7962499999999997</v>
      </c>
      <c r="H10" s="17"/>
      <c r="I10" s="21">
        <f t="shared" si="0"/>
        <v>2019</v>
      </c>
      <c r="J10" s="19">
        <v>43555</v>
      </c>
      <c r="K10" s="20">
        <v>127.34</v>
      </c>
      <c r="L10" s="4"/>
      <c r="M10" s="20">
        <f t="shared" si="1"/>
        <v>2019</v>
      </c>
      <c r="N10" s="19">
        <v>43555</v>
      </c>
      <c r="O10" s="4">
        <v>27.33</v>
      </c>
      <c r="P10" s="4"/>
      <c r="Q10" s="4"/>
      <c r="R10" s="4"/>
      <c r="S10" s="4"/>
      <c r="T10" s="4"/>
      <c r="U10" s="4"/>
      <c r="V10" s="4"/>
      <c r="W10" s="4">
        <f t="shared" si="2"/>
        <v>2019</v>
      </c>
      <c r="X10" s="19">
        <v>43555</v>
      </c>
      <c r="Y10" s="13">
        <v>3.77</v>
      </c>
    </row>
    <row r="11" spans="1:25" x14ac:dyDescent="0.3">
      <c r="A11" s="14" t="s">
        <v>6</v>
      </c>
      <c r="B11" s="4"/>
      <c r="C11" s="4">
        <f>_xlfn.VAR.S(C3:C6)</f>
        <v>1916.737543229169</v>
      </c>
      <c r="D11" s="4">
        <f>_xlfn.VAR.S(D3:D6)</f>
        <v>21.959085416666614</v>
      </c>
      <c r="E11" s="4">
        <f>_xlfn.VAR.S(E3:E6)</f>
        <v>6717534.25</v>
      </c>
      <c r="F11" s="4">
        <f>_xlfn.VAR.S(F3:F6)</f>
        <v>5498362.3204916669</v>
      </c>
      <c r="G11" s="13">
        <f>_xlfn.VAR.S(G3:G6)</f>
        <v>0.31130416666666366</v>
      </c>
      <c r="H11" s="17"/>
      <c r="I11" s="21">
        <f t="shared" si="0"/>
        <v>2018</v>
      </c>
      <c r="J11" s="19">
        <v>43465</v>
      </c>
      <c r="K11" s="20">
        <v>99.87</v>
      </c>
      <c r="L11" s="4"/>
      <c r="M11" s="20">
        <f t="shared" si="1"/>
        <v>2018</v>
      </c>
      <c r="N11" s="19">
        <v>43465</v>
      </c>
      <c r="O11" s="4">
        <v>22.31</v>
      </c>
      <c r="P11" s="4"/>
      <c r="Q11" s="4"/>
      <c r="R11" s="4"/>
      <c r="S11" s="4"/>
      <c r="T11" s="4"/>
      <c r="U11" s="4"/>
      <c r="V11" s="4"/>
      <c r="W11" s="4">
        <f t="shared" si="2"/>
        <v>2018</v>
      </c>
      <c r="X11" s="19">
        <v>43465</v>
      </c>
      <c r="Y11" s="13">
        <v>3.96</v>
      </c>
    </row>
    <row r="12" spans="1:25" x14ac:dyDescent="0.3">
      <c r="A12" s="14" t="s">
        <v>5</v>
      </c>
      <c r="B12" s="4"/>
      <c r="C12" s="4">
        <f>_xlfn.STDEV.S(C3:C6)</f>
        <v>43.780561248448713</v>
      </c>
      <c r="D12" s="4">
        <f>_xlfn.STDEV.S(D3:D6)</f>
        <v>4.6860522208642337</v>
      </c>
      <c r="E12" s="4">
        <f>_xlfn.STDEV.S(E3:E6)</f>
        <v>2591.8206438717939</v>
      </c>
      <c r="F12" s="4">
        <f>_xlfn.STDEV.S(F3:F6)</f>
        <v>2344.8586994724578</v>
      </c>
      <c r="G12" s="13">
        <f>_xlfn.STDEV.S(G3:G6)</f>
        <v>0.55794638332608959</v>
      </c>
      <c r="H12" s="17"/>
      <c r="I12" s="21">
        <f t="shared" si="0"/>
        <v>2018</v>
      </c>
      <c r="J12" s="19">
        <v>43373</v>
      </c>
      <c r="K12" s="20">
        <v>134.1</v>
      </c>
      <c r="L12" s="4"/>
      <c r="M12" s="20">
        <f t="shared" si="1"/>
        <v>2018</v>
      </c>
      <c r="N12" s="19">
        <v>43373</v>
      </c>
      <c r="O12" s="4">
        <v>32.57</v>
      </c>
      <c r="P12" s="4"/>
      <c r="Q12" s="4"/>
      <c r="R12" s="4"/>
      <c r="S12" s="4"/>
      <c r="T12" s="4"/>
      <c r="U12" s="4"/>
      <c r="V12" s="4"/>
      <c r="W12" s="4">
        <f t="shared" si="2"/>
        <v>2018</v>
      </c>
      <c r="X12" s="19">
        <v>43373</v>
      </c>
      <c r="Y12" s="13">
        <v>3.66</v>
      </c>
    </row>
    <row r="13" spans="1:25" x14ac:dyDescent="0.3">
      <c r="A13" s="14" t="s">
        <v>4</v>
      </c>
      <c r="B13" s="4"/>
      <c r="C13" s="4">
        <f>_xlfn.PERCENTILE.INC(C3:C6, 0)</f>
        <v>80.547499999999999</v>
      </c>
      <c r="D13" s="4">
        <f>_xlfn.PERCENTILE.INC(D3:D6, 0)</f>
        <v>21.04</v>
      </c>
      <c r="E13" s="4">
        <f>_xlfn.PERCENTILE.INC(E3:E6, 0)</f>
        <v>3660</v>
      </c>
      <c r="F13" s="4">
        <f>_xlfn.PERCENTILE.INC(F3:F6, 0)</f>
        <v>-3140.36</v>
      </c>
      <c r="G13" s="13">
        <f>_xlfn.PERCENTILE.INC(G3:G6, 0)</f>
        <v>2.86</v>
      </c>
      <c r="H13" s="17"/>
      <c r="I13" s="21">
        <f t="shared" si="0"/>
        <v>2018</v>
      </c>
      <c r="J13" s="19">
        <v>43281</v>
      </c>
      <c r="K13" s="20">
        <v>178.74</v>
      </c>
      <c r="L13" s="4"/>
      <c r="M13" s="20">
        <f t="shared" si="1"/>
        <v>2018</v>
      </c>
      <c r="N13" s="19">
        <v>43281</v>
      </c>
      <c r="O13" s="4">
        <v>37.909999999999997</v>
      </c>
      <c r="P13" s="4"/>
      <c r="Q13" s="4"/>
      <c r="R13" s="4"/>
      <c r="S13" s="4"/>
      <c r="T13" s="4"/>
      <c r="U13" s="4"/>
      <c r="V13" s="4"/>
      <c r="W13" s="4">
        <f t="shared" si="2"/>
        <v>2018</v>
      </c>
      <c r="X13" s="19">
        <v>43281</v>
      </c>
      <c r="Y13" s="13">
        <v>4.04</v>
      </c>
    </row>
    <row r="14" spans="1:25" x14ac:dyDescent="0.3">
      <c r="A14" s="14" t="s">
        <v>3</v>
      </c>
      <c r="B14" s="4"/>
      <c r="C14" s="4">
        <f>_xlfn.STDEV.S(C3:C6, 0.25)</f>
        <v>69.35733129507652</v>
      </c>
      <c r="D14" s="4">
        <f>_xlfn.STDEV.S(D3:D6, 0.25)</f>
        <v>11.457471552441227</v>
      </c>
      <c r="E14" s="4">
        <f>_xlfn.STDEV.S(E3:E6, 0.25)</f>
        <v>3754.7405686012444</v>
      </c>
      <c r="F14" s="4">
        <f>_xlfn.STDEV.S(F3:F6, 0.25)</f>
        <v>2139.5475267027841</v>
      </c>
      <c r="G14" s="13">
        <f>_xlfn.STDEV.S(G3:G6, 0.25)</f>
        <v>1.5943899695494821</v>
      </c>
      <c r="H14" s="17"/>
      <c r="I14" s="21">
        <f t="shared" si="0"/>
        <v>2018</v>
      </c>
      <c r="J14" s="19">
        <v>43190</v>
      </c>
      <c r="K14" s="20">
        <v>198.22</v>
      </c>
      <c r="L14" s="4"/>
      <c r="M14" s="20">
        <f t="shared" si="1"/>
        <v>2018</v>
      </c>
      <c r="N14" s="19">
        <v>43190</v>
      </c>
      <c r="O14" s="4">
        <v>31.93</v>
      </c>
      <c r="P14" s="4"/>
      <c r="Q14" s="4"/>
      <c r="R14" s="4"/>
      <c r="S14" s="4"/>
      <c r="T14" s="4"/>
      <c r="U14" s="4"/>
      <c r="V14" s="4"/>
      <c r="W14" s="4">
        <f t="shared" si="2"/>
        <v>2018</v>
      </c>
      <c r="X14" s="19">
        <v>43190</v>
      </c>
      <c r="Y14" s="13">
        <v>4.01</v>
      </c>
    </row>
    <row r="15" spans="1:25" x14ac:dyDescent="0.3">
      <c r="A15" s="14" t="s">
        <v>2</v>
      </c>
      <c r="B15" s="4"/>
      <c r="C15" s="4">
        <f>_xlfn.STDEV.S(C3:C6, 0.5)</f>
        <v>69.263739372596689</v>
      </c>
      <c r="D15" s="4">
        <f>_xlfn.STDEV.S(D3:D6, 0.5)</f>
        <v>11.352985482902721</v>
      </c>
      <c r="E15" s="4">
        <f>_xlfn.STDEV.S(E3:E6, 0.5)</f>
        <v>3754.6509424978512</v>
      </c>
      <c r="F15" s="4">
        <f>_xlfn.STDEV.S(F3:F6, 0.5)</f>
        <v>2139.5827347335739</v>
      </c>
      <c r="G15" s="13">
        <f>_xlfn.STDEV.S(G3:G6, 0.5)</f>
        <v>1.488230282919951</v>
      </c>
      <c r="H15" s="17"/>
      <c r="I15" s="21">
        <f t="shared" si="0"/>
        <v>2017</v>
      </c>
      <c r="J15" s="19">
        <v>43100</v>
      </c>
      <c r="K15" s="20">
        <v>153.57</v>
      </c>
      <c r="L15" s="4"/>
      <c r="M15" s="20">
        <f t="shared" si="1"/>
        <v>2017</v>
      </c>
      <c r="N15" s="19">
        <v>43100</v>
      </c>
      <c r="O15" s="4">
        <v>23.23</v>
      </c>
      <c r="P15" s="4"/>
      <c r="Q15" s="4"/>
      <c r="R15" s="4"/>
      <c r="S15" s="4"/>
      <c r="T15" s="4"/>
      <c r="U15" s="4"/>
      <c r="V15" s="4"/>
      <c r="W15" s="4">
        <f t="shared" si="2"/>
        <v>2017</v>
      </c>
      <c r="X15" s="19">
        <v>43100</v>
      </c>
      <c r="Y15" s="13">
        <v>4.3099999999999996</v>
      </c>
    </row>
    <row r="16" spans="1:25" x14ac:dyDescent="0.3">
      <c r="A16" s="14" t="s">
        <v>1</v>
      </c>
      <c r="B16" s="4"/>
      <c r="C16" s="4">
        <f>_xlfn.STDEV.S(C3:C6, 0.75)</f>
        <v>69.170201527644863</v>
      </c>
      <c r="D16" s="4">
        <f>_xlfn.STDEV.S(D3:D6, 0.75)</f>
        <v>11.248640112253568</v>
      </c>
      <c r="E16" s="4">
        <f>_xlfn.STDEV.S(E3:E6, 0.75)</f>
        <v>3754.5613175842527</v>
      </c>
      <c r="F16" s="4">
        <f>_xlfn.STDEV.S(F3:F6, 0.75)</f>
        <v>2139.6179480271703</v>
      </c>
      <c r="G16" s="13">
        <f>_xlfn.STDEV.S(G3:G6, 0.75)</f>
        <v>1.3829603663879881</v>
      </c>
      <c r="H16" s="17"/>
      <c r="I16" s="21">
        <f t="shared" si="0"/>
        <v>2017</v>
      </c>
      <c r="J16" s="19">
        <v>43008</v>
      </c>
      <c r="K16" s="20">
        <v>183.18</v>
      </c>
      <c r="L16" s="4"/>
      <c r="M16" s="20">
        <f t="shared" si="1"/>
        <v>2017</v>
      </c>
      <c r="N16" s="19">
        <v>43008</v>
      </c>
      <c r="O16" s="4">
        <v>23.59</v>
      </c>
      <c r="P16" s="4"/>
      <c r="Q16" s="4"/>
      <c r="R16" s="4"/>
      <c r="S16" s="4"/>
      <c r="T16" s="4"/>
      <c r="U16" s="4"/>
      <c r="V16" s="4"/>
      <c r="W16" s="4">
        <f t="shared" si="2"/>
        <v>2017</v>
      </c>
      <c r="X16" s="19">
        <v>43008</v>
      </c>
      <c r="Y16" s="13">
        <v>4.0999999999999996</v>
      </c>
    </row>
    <row r="17" spans="1:26" x14ac:dyDescent="0.3">
      <c r="A17" s="15" t="s">
        <v>0</v>
      </c>
      <c r="B17" s="5"/>
      <c r="C17" s="5">
        <f>_xlfn.STDEV.S(C3:C6, 1)</f>
        <v>69.076717979902625</v>
      </c>
      <c r="D17" s="5">
        <f>_xlfn.STDEV.S(D3:D6, 1)</f>
        <v>11.144439392584983</v>
      </c>
      <c r="E17" s="5">
        <f>_xlfn.STDEV.S(E3:E6, 1)</f>
        <v>3754.4716938605361</v>
      </c>
      <c r="F17" s="5">
        <f>_xlfn.STDEV.S(F3:F6, 1)</f>
        <v>2139.6531665833136</v>
      </c>
      <c r="G17" s="5">
        <f>_xlfn.STDEV.S(G3:G6, 1)</f>
        <v>1.2787999745855478</v>
      </c>
      <c r="H17" s="17"/>
      <c r="I17" s="21">
        <f t="shared" si="0"/>
        <v>2017</v>
      </c>
      <c r="J17" s="19">
        <v>42916</v>
      </c>
      <c r="K17" s="20">
        <v>182.21</v>
      </c>
      <c r="L17" s="4"/>
      <c r="M17" s="20">
        <f t="shared" si="1"/>
        <v>2017</v>
      </c>
      <c r="N17" s="19">
        <v>42916</v>
      </c>
      <c r="O17" s="4">
        <v>20.73</v>
      </c>
      <c r="P17" s="4"/>
      <c r="Q17" s="4"/>
      <c r="R17" s="4"/>
      <c r="S17" s="4"/>
      <c r="T17" s="4"/>
      <c r="U17" s="4"/>
      <c r="V17" s="4"/>
      <c r="W17" s="4">
        <f t="shared" si="2"/>
        <v>2017</v>
      </c>
      <c r="X17" s="19">
        <v>42916</v>
      </c>
      <c r="Y17" s="13">
        <v>4.3099999999999996</v>
      </c>
    </row>
    <row r="18" spans="1:26" x14ac:dyDescent="0.3">
      <c r="G18" s="4"/>
      <c r="H18" s="4"/>
      <c r="I18" s="22">
        <f t="shared" si="0"/>
        <v>2017</v>
      </c>
      <c r="J18" s="19">
        <v>42825</v>
      </c>
      <c r="K18" s="20">
        <v>194.49</v>
      </c>
      <c r="L18" s="4"/>
      <c r="M18" s="20">
        <f t="shared" si="1"/>
        <v>2017</v>
      </c>
      <c r="N18" s="19">
        <v>42825</v>
      </c>
      <c r="O18" s="4">
        <v>21.42</v>
      </c>
      <c r="P18" s="4"/>
      <c r="Q18" s="4"/>
      <c r="R18" s="4"/>
      <c r="S18" s="4"/>
      <c r="T18" s="4"/>
      <c r="U18" s="4"/>
      <c r="V18" s="4"/>
      <c r="W18" s="4">
        <f t="shared" si="2"/>
        <v>2017</v>
      </c>
      <c r="X18" s="19">
        <v>42825</v>
      </c>
      <c r="Y18" s="4">
        <v>3.83</v>
      </c>
      <c r="Z18" s="4"/>
    </row>
    <row r="19" spans="1:26" x14ac:dyDescent="0.3"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3"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3"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95216-900A-4DC3-95B0-12FA3E15F872}">
  <sheetPr codeName="Sheet3"/>
  <dimension ref="A1:Z21"/>
  <sheetViews>
    <sheetView zoomScale="77" workbookViewId="0">
      <selection activeCell="A40" sqref="A40:B41"/>
    </sheetView>
  </sheetViews>
  <sheetFormatPr defaultRowHeight="14.4" x14ac:dyDescent="0.3"/>
  <cols>
    <col min="1" max="1" width="17.77734375" customWidth="1"/>
    <col min="3" max="3" width="12" customWidth="1"/>
    <col min="5" max="5" width="10.5546875" customWidth="1"/>
    <col min="7" max="7" width="12" bestFit="1" customWidth="1"/>
    <col min="9" max="9" width="9" bestFit="1" customWidth="1"/>
    <col min="10" max="10" width="10.77734375" bestFit="1" customWidth="1"/>
    <col min="11" max="11" width="9" bestFit="1" customWidth="1"/>
    <col min="13" max="13" width="11.44140625" customWidth="1"/>
    <col min="14" max="14" width="10.21875" customWidth="1"/>
    <col min="15" max="15" width="9" bestFit="1" customWidth="1"/>
    <col min="17" max="18" width="9" bestFit="1" customWidth="1"/>
    <col min="21" max="22" width="9" bestFit="1" customWidth="1"/>
  </cols>
  <sheetData>
    <row r="1" spans="1:25" x14ac:dyDescent="0.3">
      <c r="A1" s="6" t="s">
        <v>10</v>
      </c>
      <c r="B1" s="7"/>
      <c r="C1" s="7"/>
      <c r="D1" s="7"/>
      <c r="E1" s="7"/>
      <c r="F1" s="7"/>
      <c r="G1" s="8"/>
      <c r="H1" s="16"/>
      <c r="I1" s="7" t="s">
        <v>16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/>
    </row>
    <row r="2" spans="1:25" x14ac:dyDescent="0.3">
      <c r="A2" s="9" t="s">
        <v>9</v>
      </c>
      <c r="B2" s="1"/>
      <c r="C2" s="1" t="s">
        <v>13</v>
      </c>
      <c r="D2" s="1" t="s">
        <v>12</v>
      </c>
      <c r="E2" s="1" t="s">
        <v>11</v>
      </c>
      <c r="F2" s="2" t="s">
        <v>15</v>
      </c>
      <c r="G2" s="10" t="s">
        <v>14</v>
      </c>
      <c r="H2" s="17"/>
      <c r="I2" s="21" t="s">
        <v>9</v>
      </c>
      <c r="J2" s="4"/>
      <c r="K2" s="4"/>
      <c r="M2" s="22" t="s">
        <v>9</v>
      </c>
      <c r="N2" s="4"/>
      <c r="O2" s="4"/>
      <c r="Q2" s="4"/>
      <c r="R2" s="4"/>
      <c r="S2" s="4"/>
      <c r="T2" s="23"/>
      <c r="U2" s="23"/>
      <c r="V2" s="4"/>
      <c r="W2" s="22" t="s">
        <v>9</v>
      </c>
      <c r="X2" s="4"/>
      <c r="Y2" s="13"/>
    </row>
    <row r="3" spans="1:25" x14ac:dyDescent="0.3">
      <c r="A3" s="11">
        <v>2017</v>
      </c>
      <c r="B3" s="3"/>
      <c r="H3" s="18"/>
      <c r="I3" s="21"/>
      <c r="J3" s="19"/>
      <c r="K3" s="20"/>
      <c r="M3" s="19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3"/>
    </row>
    <row r="4" spans="1:25" x14ac:dyDescent="0.3">
      <c r="A4" s="11">
        <v>2018</v>
      </c>
      <c r="B4" s="3"/>
      <c r="D4" s="3"/>
      <c r="E4" s="3"/>
      <c r="F4" s="3"/>
      <c r="G4" s="12"/>
      <c r="H4" s="18"/>
      <c r="I4" s="21"/>
      <c r="J4" s="19"/>
      <c r="K4" s="20"/>
      <c r="M4" s="19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3"/>
    </row>
    <row r="5" spans="1:25" x14ac:dyDescent="0.3">
      <c r="A5" s="11">
        <v>2019</v>
      </c>
      <c r="B5" s="3"/>
      <c r="C5" s="4"/>
      <c r="D5" s="3"/>
      <c r="E5" s="3"/>
      <c r="F5" s="3"/>
      <c r="G5" s="13"/>
      <c r="H5" s="18"/>
      <c r="I5" s="21"/>
      <c r="J5" s="19"/>
      <c r="K5" s="20"/>
      <c r="L5" s="4"/>
      <c r="M5" s="19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13"/>
    </row>
    <row r="6" spans="1:25" x14ac:dyDescent="0.3">
      <c r="A6" s="11">
        <v>2020</v>
      </c>
      <c r="B6" s="3"/>
      <c r="C6" s="4"/>
      <c r="D6" s="3"/>
      <c r="E6" s="3"/>
      <c r="F6" s="3"/>
      <c r="G6" s="12"/>
      <c r="H6" s="18"/>
      <c r="I6" s="21"/>
      <c r="J6" s="19"/>
      <c r="K6" s="20"/>
      <c r="L6" s="4"/>
      <c r="M6" s="19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13"/>
    </row>
    <row r="7" spans="1:25" x14ac:dyDescent="0.3">
      <c r="A7" s="11"/>
      <c r="B7" s="3"/>
      <c r="C7" s="4"/>
      <c r="D7" s="3"/>
      <c r="E7" s="3"/>
      <c r="F7" s="3"/>
      <c r="G7" s="12"/>
      <c r="H7" s="18"/>
      <c r="I7" s="21"/>
      <c r="J7" s="19"/>
      <c r="K7" s="20"/>
      <c r="L7" s="4"/>
      <c r="M7" s="19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13"/>
    </row>
    <row r="8" spans="1:25" x14ac:dyDescent="0.3">
      <c r="A8" s="14"/>
      <c r="B8" s="4"/>
      <c r="C8" s="4"/>
      <c r="D8" s="3"/>
      <c r="E8" s="3"/>
      <c r="F8" s="3"/>
      <c r="G8" s="12"/>
      <c r="H8" s="17"/>
      <c r="I8" s="21"/>
      <c r="J8" s="19"/>
      <c r="K8" s="20"/>
      <c r="L8" s="4"/>
      <c r="M8" s="19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13"/>
    </row>
    <row r="9" spans="1:25" x14ac:dyDescent="0.3">
      <c r="A9" s="14" t="s">
        <v>8</v>
      </c>
      <c r="B9" s="4"/>
      <c r="C9" s="4"/>
      <c r="D9" s="4"/>
      <c r="E9" s="4"/>
      <c r="F9" s="4"/>
      <c r="G9" s="13"/>
      <c r="H9" s="17"/>
      <c r="I9" s="21"/>
      <c r="J9" s="19"/>
      <c r="K9" s="20"/>
      <c r="L9" s="4"/>
      <c r="M9" s="19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13"/>
    </row>
    <row r="10" spans="1:25" x14ac:dyDescent="0.3">
      <c r="A10" s="14" t="s">
        <v>7</v>
      </c>
      <c r="B10" s="4"/>
      <c r="C10" s="4"/>
      <c r="D10" s="4"/>
      <c r="E10" s="4"/>
      <c r="F10" s="4"/>
      <c r="G10" s="13"/>
      <c r="H10" s="17"/>
      <c r="I10" s="21"/>
      <c r="J10" s="19"/>
      <c r="K10" s="20"/>
      <c r="L10" s="4"/>
      <c r="M10" s="19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13"/>
    </row>
    <row r="11" spans="1:25" x14ac:dyDescent="0.3">
      <c r="A11" s="14" t="s">
        <v>6</v>
      </c>
      <c r="B11" s="4"/>
      <c r="C11" s="4"/>
      <c r="D11" s="4"/>
      <c r="E11" s="4"/>
      <c r="F11" s="4"/>
      <c r="G11" s="13"/>
      <c r="H11" s="17"/>
      <c r="I11" s="21"/>
      <c r="J11" s="19"/>
      <c r="K11" s="20"/>
      <c r="L11" s="4"/>
      <c r="M11" s="19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13"/>
    </row>
    <row r="12" spans="1:25" x14ac:dyDescent="0.3">
      <c r="A12" s="14" t="s">
        <v>5</v>
      </c>
      <c r="B12" s="4"/>
      <c r="C12" s="4"/>
      <c r="D12" s="4"/>
      <c r="E12" s="4"/>
      <c r="F12" s="4"/>
      <c r="G12" s="13"/>
      <c r="H12" s="17"/>
      <c r="I12" s="21"/>
      <c r="J12" s="19"/>
      <c r="K12" s="20"/>
      <c r="L12" s="4"/>
      <c r="M12" s="19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13"/>
    </row>
    <row r="13" spans="1:25" x14ac:dyDescent="0.3">
      <c r="A13" s="14" t="s">
        <v>4</v>
      </c>
      <c r="B13" s="4"/>
      <c r="C13" s="4"/>
      <c r="D13" s="4"/>
      <c r="E13" s="4"/>
      <c r="F13" s="4"/>
      <c r="G13" s="13"/>
      <c r="H13" s="17"/>
      <c r="I13" s="21"/>
      <c r="J13" s="19"/>
      <c r="K13" s="20"/>
      <c r="L13" s="4"/>
      <c r="M13" s="19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13"/>
    </row>
    <row r="14" spans="1:25" x14ac:dyDescent="0.3">
      <c r="A14" s="14" t="s">
        <v>3</v>
      </c>
      <c r="B14" s="4"/>
      <c r="C14" s="4"/>
      <c r="D14" s="4"/>
      <c r="E14" s="4"/>
      <c r="F14" s="4"/>
      <c r="G14" s="13"/>
      <c r="H14" s="17"/>
      <c r="I14" s="21"/>
      <c r="J14" s="19"/>
      <c r="K14" s="20"/>
      <c r="L14" s="4"/>
      <c r="M14" s="19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13"/>
    </row>
    <row r="15" spans="1:25" x14ac:dyDescent="0.3">
      <c r="A15" s="14" t="s">
        <v>2</v>
      </c>
      <c r="B15" s="4"/>
      <c r="C15" s="4"/>
      <c r="D15" s="4"/>
      <c r="E15" s="4"/>
      <c r="F15" s="4"/>
      <c r="G15" s="13"/>
      <c r="H15" s="17"/>
      <c r="I15" s="21"/>
      <c r="J15" s="19"/>
      <c r="K15" s="20"/>
      <c r="L15" s="4"/>
      <c r="M15" s="19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13"/>
    </row>
    <row r="16" spans="1:25" x14ac:dyDescent="0.3">
      <c r="A16" s="14" t="s">
        <v>1</v>
      </c>
      <c r="B16" s="4"/>
      <c r="C16" s="4"/>
      <c r="D16" s="4"/>
      <c r="E16" s="4"/>
      <c r="F16" s="4"/>
      <c r="G16" s="13"/>
      <c r="H16" s="17"/>
      <c r="I16" s="21"/>
      <c r="J16" s="19"/>
      <c r="K16" s="20"/>
      <c r="L16" s="4"/>
      <c r="M16" s="19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13"/>
    </row>
    <row r="17" spans="1:26" x14ac:dyDescent="0.3">
      <c r="A17" s="15" t="s">
        <v>0</v>
      </c>
      <c r="B17" s="5"/>
      <c r="C17" s="5"/>
      <c r="D17" s="5"/>
      <c r="E17" s="5"/>
      <c r="F17" s="5"/>
      <c r="G17" s="5"/>
      <c r="H17" s="17"/>
      <c r="I17" s="21"/>
      <c r="J17" s="19"/>
      <c r="K17" s="20"/>
      <c r="L17" s="4"/>
      <c r="M17" s="19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13"/>
    </row>
    <row r="18" spans="1:26" x14ac:dyDescent="0.3">
      <c r="G18" s="4"/>
      <c r="H18" s="4"/>
      <c r="I18" s="22"/>
      <c r="J18" s="19"/>
      <c r="K18" s="20"/>
      <c r="L18" s="4"/>
      <c r="M18" s="19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3"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3"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3"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</sheetData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6C16F38D450488CC309DBC875EC4C" ma:contentTypeVersion="12" ma:contentTypeDescription="Create a new document." ma:contentTypeScope="" ma:versionID="14010393953fabd1612db30853055d19">
  <xsd:schema xmlns:xsd="http://www.w3.org/2001/XMLSchema" xmlns:xs="http://www.w3.org/2001/XMLSchema" xmlns:p="http://schemas.microsoft.com/office/2006/metadata/properties" xmlns:ns3="68532015-b68b-4289-8e89-300e65d4e817" xmlns:ns4="ab849235-394b-4b7e-b471-c08b5f414814" targetNamespace="http://schemas.microsoft.com/office/2006/metadata/properties" ma:root="true" ma:fieldsID="a1fa26e3caca59ce3e887cd5ca0c2bbf" ns3:_="" ns4:_="">
    <xsd:import namespace="68532015-b68b-4289-8e89-300e65d4e817"/>
    <xsd:import namespace="ab849235-394b-4b7e-b471-c08b5f41481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532015-b68b-4289-8e89-300e65d4e81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849235-394b-4b7e-b471-c08b5f41481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2FD8344-1AB8-4FF7-932C-0F6F4B1A3BA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FD6BB3-3D8B-4E96-AEC0-33BEE4F42DA4}">
  <ds:schemaRefs>
    <ds:schemaRef ds:uri="http://purl.org/dc/elements/1.1/"/>
    <ds:schemaRef ds:uri="http://schemas.microsoft.com/office/2006/metadata/properties"/>
    <ds:schemaRef ds:uri="68532015-b68b-4289-8e89-300e65d4e81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b849235-394b-4b7e-b471-c08b5f41481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070FFAC-1DEF-4062-91CF-C2838EE503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532015-b68b-4289-8e89-300e65d4e817"/>
    <ds:schemaRef ds:uri="ab849235-394b-4b7e-b471-c08b5f4148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Netflix</vt:lpstr>
      <vt:lpstr>Netflix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</dc:creator>
  <cp:lastModifiedBy>julia</cp:lastModifiedBy>
  <dcterms:created xsi:type="dcterms:W3CDTF">2021-07-26T01:55:14Z</dcterms:created>
  <dcterms:modified xsi:type="dcterms:W3CDTF">2021-08-18T17:15:57Z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0x010100FF36C16F38D450488CC309DBC875EC4C</vt:lpwstr>
  </property>
</Properties>
</file>